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  <sheet name="Legenda" sheetId="2" state="visible" r:id="rId2"/>
  </sheets>
  <definedNames>
    <definedName name="_xlnm._FilterDatabase" localSheetId="0" hidden="1">'Colaboradores'!$A$1:$AU$1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4374"/>
      <sz val="14"/>
    </font>
    <font>
      <name val="Arial"/>
      <i val="1"/>
      <color rgb="005B6B82"/>
      <sz val="10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4374"/>
      </patternFill>
    </fill>
    <fill>
      <patternFill patternType="solid">
        <fgColor rgb="001F30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BD3A30"/>
        <sz val="10"/>
      </font>
      <fill>
        <patternFill patternType="solid">
          <fgColor rgb="00FBE7E4"/>
        </patternFill>
      </fill>
    </dxf>
    <dxf>
      <font>
        <name val="Arial"/>
        <b val="1"/>
        <color rgb="00A86A08"/>
        <sz val="10"/>
      </font>
      <fill>
        <patternFill patternType="solid">
          <fgColor rgb="00FBF0D9"/>
        </patternFill>
      </fill>
    </dxf>
    <dxf>
      <font>
        <name val="Arial"/>
        <b val="1"/>
        <color rgb="001F8A5A"/>
        <sz val="10"/>
      </font>
      <fill>
        <patternFill patternType="solid">
          <fgColor rgb="00E3F4EC"/>
        </patternFill>
      </fill>
    </dxf>
    <dxf>
      <font>
        <name val="Arial"/>
        <b val="1"/>
        <color rgb="006B7688"/>
        <sz val="10"/>
      </font>
      <fill>
        <patternFill patternType="solid">
          <fgColor rgb="00EAED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6" customWidth="1" min="4" max="4"/>
    <col width="18" customWidth="1" min="5" max="5"/>
    <col width="26" customWidth="1" min="6" max="6"/>
    <col width="15" customWidth="1" min="7" max="7"/>
    <col width="18" customWidth="1" min="8" max="8"/>
    <col width="14" customWidth="1" min="9" max="9"/>
    <col width="15" customWidth="1" min="10" max="10"/>
    <col width="12" customWidth="1" min="11" max="11"/>
    <col width="11" customWidth="1" min="12" max="12"/>
    <col width="13" customWidth="1" min="13" max="13"/>
    <col width="8" customWidth="1" min="14" max="14"/>
    <col width="12" customWidth="1" min="15" max="15"/>
    <col width="11" customWidth="1" min="16" max="16"/>
    <col width="12" customWidth="1" min="17" max="17"/>
    <col width="11" customWidth="1" min="18" max="18"/>
    <col width="30" customWidth="1" min="19" max="19"/>
    <col width="12" customWidth="1" min="20" max="20"/>
    <col width="11" customWidth="1" min="21" max="21"/>
    <col width="12" customWidth="1" min="22" max="22"/>
    <col width="11" customWidth="1" min="23" max="23"/>
    <col width="14" customWidth="1" min="24" max="24"/>
    <col width="12" customWidth="1" min="25" max="25"/>
    <col width="12" customWidth="1" min="26" max="26"/>
    <col width="9" customWidth="1" min="27" max="27"/>
    <col width="9" customWidth="1" min="28" max="28"/>
    <col width="8" customWidth="1" min="29" max="29"/>
    <col width="12" customWidth="1" min="30" max="30"/>
    <col width="12" customWidth="1" min="31" max="31"/>
    <col width="13" customWidth="1" min="32" max="32"/>
    <col width="11" customWidth="1" min="33" max="33"/>
    <col width="10" customWidth="1" min="34" max="34"/>
    <col width="10" customWidth="1" min="35" max="35"/>
    <col width="9" customWidth="1" min="36" max="36"/>
    <col width="8" customWidth="1" min="37" max="37"/>
    <col width="9" customWidth="1" min="38" max="38"/>
    <col width="9" customWidth="1" min="39" max="39"/>
    <col width="9" customWidth="1" min="40" max="40"/>
    <col width="9" customWidth="1" min="41" max="41"/>
    <col width="10" customWidth="1" min="42" max="42"/>
    <col width="30" customWidth="1" min="43" max="43"/>
    <col width="22" customWidth="1" min="44" max="44"/>
    <col width="10" customWidth="1" min="45" max="45"/>
    <col width="32" customWidth="1" min="46" max="46"/>
    <col width="34" customWidth="1" min="47" max="47"/>
  </cols>
  <sheetData>
    <row r="1" ht="34" customHeight="1">
      <c r="A1" s="1" t="inlineStr">
        <is>
          <t>Matrícula</t>
        </is>
      </c>
      <c r="B1" s="1" t="inlineStr">
        <is>
          <t>Nome Completo</t>
        </is>
      </c>
      <c r="C1" s="1" t="inlineStr">
        <is>
          <t>Cargo</t>
        </is>
      </c>
      <c r="D1" s="1" t="inlineStr">
        <is>
          <t>Função</t>
        </is>
      </c>
      <c r="E1" s="1" t="inlineStr">
        <is>
          <t>Unidade / Local de Trabalho</t>
        </is>
      </c>
      <c r="F1" s="1" t="inlineStr">
        <is>
          <t>Gestor Direto</t>
        </is>
      </c>
      <c r="G1" s="1" t="inlineStr">
        <is>
          <t>Telefone</t>
        </is>
      </c>
      <c r="H1" s="1" t="inlineStr">
        <is>
          <t>Emergência - Nome</t>
        </is>
      </c>
      <c r="I1" s="1" t="inlineStr">
        <is>
          <t>Emergência - Parentesco</t>
        </is>
      </c>
      <c r="J1" s="1" t="inlineStr">
        <is>
          <t>Emergência - Telefone</t>
        </is>
      </c>
      <c r="K1" s="1" t="inlineStr">
        <is>
          <t>Data de Admissão</t>
        </is>
      </c>
      <c r="L1" s="1" t="inlineStr">
        <is>
          <t>Status</t>
        </is>
      </c>
      <c r="M1" s="1" t="inlineStr">
        <is>
          <t>CNH - Número</t>
        </is>
      </c>
      <c r="N1" s="1" t="inlineStr">
        <is>
          <t>CNH - Categoria</t>
        </is>
      </c>
      <c r="O1" s="1" t="inlineStr">
        <is>
          <t>CNH - Validade</t>
        </is>
      </c>
      <c r="P1" s="1" t="inlineStr">
        <is>
          <t>CNH - Situação</t>
        </is>
      </c>
      <c r="Q1" s="1" t="inlineStr">
        <is>
          <t>ASO - Validade</t>
        </is>
      </c>
      <c r="R1" s="1" t="inlineStr">
        <is>
          <t>ASO - Situação</t>
        </is>
      </c>
      <c r="S1" s="1" t="inlineStr">
        <is>
          <t>Treinamento / Reciclagem</t>
        </is>
      </c>
      <c r="T1" s="1" t="inlineStr">
        <is>
          <t>Treinamento - Validade</t>
        </is>
      </c>
      <c r="U1" s="1" t="inlineStr">
        <is>
          <t>Treinamento - Situação</t>
        </is>
      </c>
      <c r="V1" s="1" t="inlineStr">
        <is>
          <t>Antecedentes / Certidão - Validade</t>
        </is>
      </c>
      <c r="W1" s="1" t="inlineStr">
        <is>
          <t>Antecedentes - Situação</t>
        </is>
      </c>
      <c r="X1" s="1" t="inlineStr">
        <is>
          <t>Situação Geral dos Documentos</t>
        </is>
      </c>
      <c r="Y1" s="1" t="inlineStr">
        <is>
          <t>Período Aquisitivo - Início</t>
        </is>
      </c>
      <c r="Z1" s="1" t="inlineStr">
        <is>
          <t>Período Aquisitivo - Fim</t>
        </is>
      </c>
      <c r="AA1" s="1" t="inlineStr">
        <is>
          <t>Dias de Direito</t>
        </is>
      </c>
      <c r="AB1" s="1" t="inlineStr">
        <is>
          <t>Dias Já Gozados</t>
        </is>
      </c>
      <c r="AC1" s="1" t="inlineStr">
        <is>
          <t>Saldo de Dias</t>
        </is>
      </c>
      <c r="AD1" s="1" t="inlineStr">
        <is>
          <t>Próximas Férias - Início</t>
        </is>
      </c>
      <c r="AE1" s="1" t="inlineStr">
        <is>
          <t>Próximas Férias - Fim</t>
        </is>
      </c>
      <c r="AF1" s="1" t="inlineStr">
        <is>
          <t>Prazo Legal de Concessão</t>
        </is>
      </c>
      <c r="AG1" s="1" t="inlineStr">
        <is>
          <t>Situação das Férias</t>
        </is>
      </c>
      <c r="AH1" s="1" t="inlineStr">
        <is>
          <t>Notebook</t>
        </is>
      </c>
      <c r="AI1" s="1" t="inlineStr">
        <is>
          <t>Celular Corporativo</t>
        </is>
      </c>
      <c r="AJ1" s="1" t="inlineStr">
        <is>
          <t>Monitor</t>
        </is>
      </c>
      <c r="AK1" s="1" t="inlineStr">
        <is>
          <t>Mouse</t>
        </is>
      </c>
      <c r="AL1" s="1" t="inlineStr">
        <is>
          <t>Teclado</t>
        </is>
      </c>
      <c r="AM1" s="1" t="inlineStr">
        <is>
          <t>Veículo</t>
        </is>
      </c>
      <c r="AN1" s="1" t="inlineStr">
        <is>
          <t>Crachá de Acesso</t>
        </is>
      </c>
      <c r="AO1" s="1" t="inlineStr">
        <is>
          <t>Rádio / HT</t>
        </is>
      </c>
      <c r="AP1" s="1" t="inlineStr">
        <is>
          <t>Uniforme / Colete</t>
        </is>
      </c>
      <c r="AQ1" s="1" t="inlineStr">
        <is>
          <t>Identificação / Patrimônio</t>
        </is>
      </c>
      <c r="AR1" s="1" t="inlineStr">
        <is>
          <t>Outros Equipamentos</t>
        </is>
      </c>
      <c r="AS1" s="1" t="inlineStr">
        <is>
          <t>Pendência Aberta</t>
        </is>
      </c>
      <c r="AT1" s="1" t="inlineStr">
        <is>
          <t>Descrição da Pendência</t>
        </is>
      </c>
      <c r="AU1" s="1" t="inlineStr">
        <is>
          <t>Observações Gerais</t>
        </is>
      </c>
    </row>
    <row r="2">
      <c r="A2" s="2" t="inlineStr">
        <is>
          <t>PP-1001</t>
        </is>
      </c>
      <c r="B2" s="2" t="inlineStr">
        <is>
          <t>Marina Salgado Ferreira</t>
        </is>
      </c>
      <c r="C2" s="2" t="inlineStr">
        <is>
          <t>Gerente de Prevenção de Perdas</t>
        </is>
      </c>
      <c r="D2" s="2" t="inlineStr">
        <is>
          <t>Gestão Regional</t>
        </is>
      </c>
      <c r="E2" s="2" t="inlineStr">
        <is>
          <t>Regional Sudeste</t>
        </is>
      </c>
      <c r="F2" s="2" t="inlineStr">
        <is>
          <t>Ricardo Nogueira (Diretor de Operações)</t>
        </is>
      </c>
      <c r="G2" s="2" t="inlineStr">
        <is>
          <t>(11) 98211-4470</t>
        </is>
      </c>
      <c r="H2" s="2" t="inlineStr">
        <is>
          <t>Beatriz Salgado</t>
        </is>
      </c>
      <c r="I2" s="2" t="inlineStr">
        <is>
          <t>Cônjuge</t>
        </is>
      </c>
      <c r="J2" s="2" t="inlineStr">
        <is>
          <t>(11) 98811-2290</t>
        </is>
      </c>
      <c r="K2" s="3" t="n">
        <v>43535</v>
      </c>
      <c r="L2" s="2" t="inlineStr">
        <is>
          <t>Ativo</t>
        </is>
      </c>
      <c r="M2" s="2" t="inlineStr">
        <is>
          <t>34781122-SP</t>
        </is>
      </c>
      <c r="N2" s="2" t="inlineStr">
        <is>
          <t>B</t>
        </is>
      </c>
      <c r="O2" s="3" t="n">
        <v>46509</v>
      </c>
      <c r="P2" s="2">
        <f>IF(O2="","N/A",IF(O2-TODAY()&lt;=7,"Crítico",IF(O2-TODAY()&lt;=30,"Atenção","Em dia")))</f>
        <v/>
      </c>
      <c r="Q2" s="3" t="n">
        <v>46270</v>
      </c>
      <c r="R2" s="2">
        <f>IF(Q2="","N/A",IF(Q2-TODAY()&lt;=7,"Crítico",IF(Q2-TODAY()&lt;=30,"Atenção","Em dia")))</f>
        <v/>
      </c>
      <c r="S2" s="2" t="inlineStr">
        <is>
          <t>Gestão de Crise e Compliance</t>
        </is>
      </c>
      <c r="T2" s="3" t="n">
        <v>46357</v>
      </c>
      <c r="U2" s="2">
        <f>IF(T2="","N/A",IF(T2-TODAY()&lt;=7,"Crítico",IF(T2-TODAY()&lt;=30,"Atenção","Em dia")))</f>
        <v/>
      </c>
      <c r="V2" s="3" t="n">
        <v>46402</v>
      </c>
      <c r="W2" s="2">
        <f>IF(V2="","N/A",IF(V2-TODAY()&lt;=7,"Crítico",IF(V2-TODAY()&lt;=30,"Atenção","Em dia")))</f>
        <v/>
      </c>
      <c r="X2" s="2">
        <f>IF(OR(P2="Crítico",R2="Crítico",U2="Crítico",W2="Crítico"),"Crítico",IF(OR(P2="Atenção",R2="Atenção",U2="Atenção",W2="Atenção"),"Atenção",IF(AND(P2="N/A",R2="N/A",U2="N/A",W2="N/A"),"N/A","Em dia")))</f>
        <v/>
      </c>
      <c r="Y2" s="3" t="n">
        <v>45727</v>
      </c>
      <c r="Z2" s="3" t="n">
        <v>46091</v>
      </c>
      <c r="AA2" s="2" t="n">
        <v>30</v>
      </c>
      <c r="AB2" s="2" t="n">
        <v>10</v>
      </c>
      <c r="AC2" s="2">
        <f>MAX(0,AA2-AB2)</f>
        <v/>
      </c>
      <c r="AD2" s="3" t="n"/>
      <c r="AE2" s="3" t="n"/>
      <c r="AF2" s="3">
        <f>IF(Z2="","",EDATE(Z2,11))</f>
        <v/>
      </c>
      <c r="AG2" s="2">
        <f>IF(AF2="","N/A",IF(AF2-TODAY()&lt;0,"Vencido",IF(AF2-TODAY()&lt;=60,"Atenção","Em dia")))</f>
        <v/>
      </c>
      <c r="AH2" s="2" t="inlineStr">
        <is>
          <t>Sim</t>
        </is>
      </c>
      <c r="AI2" s="2" t="inlineStr">
        <is>
          <t>Sim</t>
        </is>
      </c>
      <c r="AJ2" s="2" t="inlineStr">
        <is>
          <t>Sim</t>
        </is>
      </c>
      <c r="AK2" s="2" t="inlineStr">
        <is>
          <t>Sim</t>
        </is>
      </c>
      <c r="AL2" s="2" t="inlineStr">
        <is>
          <t>Sim</t>
        </is>
      </c>
      <c r="AM2" s="2" t="inlineStr">
        <is>
          <t>Sim</t>
        </is>
      </c>
      <c r="AN2" s="2" t="inlineStr">
        <is>
          <t>Sim</t>
        </is>
      </c>
      <c r="AO2" s="2" t="inlineStr">
        <is>
          <t>Não</t>
        </is>
      </c>
      <c r="AP2" s="2" t="inlineStr">
        <is>
          <t>Não</t>
        </is>
      </c>
      <c r="AQ2" s="2" t="inlineStr">
        <is>
          <t>NB-1188 · Cel 11 98211-4470 · Placa RKA-1B32</t>
        </is>
      </c>
      <c r="AR2" s="2" t="inlineStr"/>
      <c r="AS2" s="2" t="inlineStr">
        <is>
          <t>Não</t>
        </is>
      </c>
      <c r="AT2" s="2" t="inlineStr"/>
      <c r="AU2" s="2" t="inlineStr"/>
    </row>
    <row r="3">
      <c r="A3" s="2" t="inlineStr">
        <is>
          <t>PP-1014</t>
        </is>
      </c>
      <c r="B3" s="2" t="inlineStr">
        <is>
          <t>Eduardo Matias Costa</t>
        </is>
      </c>
      <c r="C3" s="2" t="inlineStr">
        <is>
          <t>Supervisor de Prevenção de Perdas</t>
        </is>
      </c>
      <c r="D3" s="2" t="inlineStr">
        <is>
          <t>Supervisão de Loja</t>
        </is>
      </c>
      <c r="E3" s="2" t="inlineStr">
        <is>
          <t>Loja Centro</t>
        </is>
      </c>
      <c r="F3" s="2" t="inlineStr">
        <is>
          <t>Marina Salgado Ferreira</t>
        </is>
      </c>
      <c r="G3" s="2" t="inlineStr">
        <is>
          <t>(11) 97744-1182</t>
        </is>
      </c>
      <c r="H3" s="2" t="inlineStr">
        <is>
          <t>Paula Matias</t>
        </is>
      </c>
      <c r="I3" s="2" t="inlineStr">
        <is>
          <t>Irmã</t>
        </is>
      </c>
      <c r="J3" s="2" t="inlineStr">
        <is>
          <t>(11) 97744-9090</t>
        </is>
      </c>
      <c r="K3" s="3" t="n">
        <v>44348</v>
      </c>
      <c r="L3" s="2" t="inlineStr">
        <is>
          <t>Ativo</t>
        </is>
      </c>
      <c r="M3" s="2" t="inlineStr">
        <is>
          <t>41982233-SP</t>
        </is>
      </c>
      <c r="N3" s="2" t="inlineStr">
        <is>
          <t>B</t>
        </is>
      </c>
      <c r="O3" s="3" t="n">
        <v>46259</v>
      </c>
      <c r="P3" s="2">
        <f>IF(O3="","N/A",IF(O3-TODAY()&lt;=7,"Crítico",IF(O3-TODAY()&lt;=30,"Atenção","Em dia")))</f>
        <v/>
      </c>
      <c r="Q3" s="3" t="n">
        <v>46397</v>
      </c>
      <c r="R3" s="2">
        <f>IF(Q3="","N/A",IF(Q3-TODAY()&lt;=7,"Crítico",IF(Q3-TODAY()&lt;=30,"Atenção","Em dia")))</f>
        <v/>
      </c>
      <c r="S3" s="2" t="inlineStr">
        <is>
          <t>Abordagem e Direito de Prisão em Flagrante</t>
        </is>
      </c>
      <c r="T3" s="3" t="n">
        <v>46266</v>
      </c>
      <c r="U3" s="2">
        <f>IF(T3="","N/A",IF(T3-TODAY()&lt;=7,"Crítico",IF(T3-TODAY()&lt;=30,"Atenção","Em dia")))</f>
        <v/>
      </c>
      <c r="V3" s="3" t="n">
        <v>46254</v>
      </c>
      <c r="W3" s="2">
        <f>IF(V3="","N/A",IF(V3-TODAY()&lt;=7,"Crítico",IF(V3-TODAY()&lt;=30,"Atenção","Em dia")))</f>
        <v/>
      </c>
      <c r="X3" s="2">
        <f>IF(OR(P3="Crítico",R3="Crítico",U3="Crítico",W3="Crítico"),"Crítico",IF(OR(P3="Atenção",R3="Atenção",U3="Atenção",W3="Atenção"),"Atenção",IF(AND(P3="N/A",R3="N/A",U3="N/A",W3="N/A"),"N/A","Em dia")))</f>
        <v/>
      </c>
      <c r="Y3" s="3" t="n">
        <v>45444</v>
      </c>
      <c r="Z3" s="3" t="n">
        <v>45808</v>
      </c>
      <c r="AA3" s="2" t="n">
        <v>30</v>
      </c>
      <c r="AB3" s="2" t="n">
        <v>0</v>
      </c>
      <c r="AC3" s="2">
        <f>MAX(0,AA3-AB3)</f>
        <v/>
      </c>
      <c r="AD3" s="3" t="n"/>
      <c r="AE3" s="3" t="n"/>
      <c r="AF3" s="3">
        <f>IF(Z3="","",EDATE(Z3,11))</f>
        <v/>
      </c>
      <c r="AG3" s="2">
        <f>IF(AF3="","N/A",IF(AF3-TODAY()&lt;0,"Vencido",IF(AF3-TODAY()&lt;=60,"Atenção","Em dia")))</f>
        <v/>
      </c>
      <c r="AH3" s="2" t="inlineStr">
        <is>
          <t>Sim</t>
        </is>
      </c>
      <c r="AI3" s="2" t="inlineStr">
        <is>
          <t>Sim</t>
        </is>
      </c>
      <c r="AJ3" s="2" t="inlineStr">
        <is>
          <t>Não</t>
        </is>
      </c>
      <c r="AK3" s="2" t="inlineStr">
        <is>
          <t>Sim</t>
        </is>
      </c>
      <c r="AL3" s="2" t="inlineStr">
        <is>
          <t>Sim</t>
        </is>
      </c>
      <c r="AM3" s="2" t="inlineStr">
        <is>
          <t>Não</t>
        </is>
      </c>
      <c r="AN3" s="2" t="inlineStr">
        <is>
          <t>Sim</t>
        </is>
      </c>
      <c r="AO3" s="2" t="inlineStr">
        <is>
          <t>Sim</t>
        </is>
      </c>
      <c r="AP3" s="2" t="inlineStr">
        <is>
          <t>Não</t>
        </is>
      </c>
      <c r="AQ3" s="2" t="inlineStr">
        <is>
          <t>NB-2077 · Cel 11 97744-1182 · HT-014</t>
        </is>
      </c>
      <c r="AR3" s="2" t="inlineStr"/>
      <c r="AS3" s="2" t="inlineStr">
        <is>
          <t>Sim</t>
        </is>
      </c>
      <c r="AT3" s="2" t="inlineStr">
        <is>
          <t>Aguardando devolução de rádio HT antigo (HT-009)</t>
        </is>
      </c>
      <c r="AU3" s="2" t="inlineStr">
        <is>
          <t>Prazo de concessão de férias do ciclo 2024/2025 já venceu — priorizar agendamento imediato.</t>
        </is>
      </c>
    </row>
    <row r="4">
      <c r="A4" s="2" t="inlineStr">
        <is>
          <t>PP-1022</t>
        </is>
      </c>
      <c r="B4" s="2" t="inlineStr">
        <is>
          <t>Juliana Prates Andrade</t>
        </is>
      </c>
      <c r="C4" s="2" t="inlineStr">
        <is>
          <t>Analista de Prevenção de Perdas</t>
        </is>
      </c>
      <c r="D4" s="2" t="inlineStr">
        <is>
          <t>Monitoramento CFTV &amp; Auditoria</t>
        </is>
      </c>
      <c r="E4" s="2" t="inlineStr">
        <is>
          <t>Loja Centro</t>
        </is>
      </c>
      <c r="F4" s="2" t="inlineStr">
        <is>
          <t>Eduardo Matias Costa</t>
        </is>
      </c>
      <c r="G4" s="2" t="inlineStr">
        <is>
          <t>(11) 96633-5510</t>
        </is>
      </c>
      <c r="H4" s="2" t="inlineStr">
        <is>
          <t>Renato Prates</t>
        </is>
      </c>
      <c r="I4" s="2" t="inlineStr">
        <is>
          <t>Pai</t>
        </is>
      </c>
      <c r="J4" s="2" t="inlineStr">
        <is>
          <t>(11) 96633-0021</t>
        </is>
      </c>
      <c r="K4" s="3" t="n">
        <v>44606</v>
      </c>
      <c r="L4" s="2" t="inlineStr">
        <is>
          <t>Ativo</t>
        </is>
      </c>
      <c r="M4" s="2" t="inlineStr"/>
      <c r="N4" s="2" t="inlineStr"/>
      <c r="O4" s="3" t="n"/>
      <c r="P4" s="2">
        <f>IF(O4="","N/A",IF(O4-TODAY()&lt;=7,"Crítico",IF(O4-TODAY()&lt;=30,"Atenção","Em dia")))</f>
        <v/>
      </c>
      <c r="Q4" s="3" t="n">
        <v>46325</v>
      </c>
      <c r="R4" s="2">
        <f>IF(Q4="","N/A",IF(Q4-TODAY()&lt;=7,"Crítico",IF(Q4-TODAY()&lt;=30,"Atenção","Em dia")))</f>
        <v/>
      </c>
      <c r="S4" s="2" t="inlineStr">
        <is>
          <t>Auditoria de Estoque e Análise de Perdas</t>
        </is>
      </c>
      <c r="T4" s="3" t="n">
        <v>46438</v>
      </c>
      <c r="U4" s="2">
        <f>IF(T4="","N/A",IF(T4-TODAY()&lt;=7,"Crítico",IF(T4-TODAY()&lt;=30,"Atenção","Em dia")))</f>
        <v/>
      </c>
      <c r="V4" s="3" t="n">
        <v>46280</v>
      </c>
      <c r="W4" s="2">
        <f>IF(V4="","N/A",IF(V4-TODAY()&lt;=7,"Crítico",IF(V4-TODAY()&lt;=30,"Atenção","Em dia")))</f>
        <v/>
      </c>
      <c r="X4" s="2">
        <f>IF(OR(P4="Crítico",R4="Crítico",U4="Crítico",W4="Crítico"),"Crítico",IF(OR(P4="Atenção",R4="Atenção",U4="Atenção",W4="Atenção"),"Atenção",IF(AND(P4="N/A",R4="N/A",U4="N/A",W4="N/A"),"N/A","Em dia")))</f>
        <v/>
      </c>
      <c r="Y4" s="3" t="n">
        <v>45702</v>
      </c>
      <c r="Z4" s="3" t="n">
        <v>46066</v>
      </c>
      <c r="AA4" s="2" t="n">
        <v>30</v>
      </c>
      <c r="AB4" s="2" t="n">
        <v>30</v>
      </c>
      <c r="AC4" s="2">
        <f>MAX(0,AA4-AB4)</f>
        <v/>
      </c>
      <c r="AD4" s="3" t="n">
        <v>46392</v>
      </c>
      <c r="AE4" s="3" t="n">
        <v>46421</v>
      </c>
      <c r="AF4" s="3">
        <f>IF(Z4="","",EDATE(Z4,11))</f>
        <v/>
      </c>
      <c r="AG4" s="2">
        <f>IF(AF4="","N/A",IF(AF4-TODAY()&lt;0,"Vencido",IF(AF4-TODAY()&lt;=60,"Atenção","Em dia")))</f>
        <v/>
      </c>
      <c r="AH4" s="2" t="inlineStr">
        <is>
          <t>Sim</t>
        </is>
      </c>
      <c r="AI4" s="2" t="inlineStr">
        <is>
          <t>Não</t>
        </is>
      </c>
      <c r="AJ4" s="2" t="inlineStr">
        <is>
          <t>Sim</t>
        </is>
      </c>
      <c r="AK4" s="2" t="inlineStr">
        <is>
          <t>Sim</t>
        </is>
      </c>
      <c r="AL4" s="2" t="inlineStr">
        <is>
          <t>Sim</t>
        </is>
      </c>
      <c r="AM4" s="2" t="inlineStr">
        <is>
          <t>Não</t>
        </is>
      </c>
      <c r="AN4" s="2" t="inlineStr">
        <is>
          <t>Sim</t>
        </is>
      </c>
      <c r="AO4" s="2" t="inlineStr">
        <is>
          <t>Não</t>
        </is>
      </c>
      <c r="AP4" s="2" t="inlineStr">
        <is>
          <t>Não</t>
        </is>
      </c>
      <c r="AQ4" s="2" t="inlineStr">
        <is>
          <t>NB-1450 · Monitor MN-330</t>
        </is>
      </c>
      <c r="AR4" s="2" t="inlineStr"/>
      <c r="AS4" s="2" t="inlineStr">
        <is>
          <t>Não</t>
        </is>
      </c>
      <c r="AT4" s="2" t="inlineStr"/>
      <c r="AU4" s="2" t="inlineStr"/>
    </row>
    <row r="5">
      <c r="A5" s="2" t="inlineStr">
        <is>
          <t>PP-1031</t>
        </is>
      </c>
      <c r="B5" s="2" t="inlineStr">
        <is>
          <t>Bruno Tavares Lima</t>
        </is>
      </c>
      <c r="C5" s="2" t="inlineStr">
        <is>
          <t>Agente de Prevenção de Perdas</t>
        </is>
      </c>
      <c r="D5" s="2" t="inlineStr">
        <is>
          <t>Abordagem e Segurança de Loja</t>
        </is>
      </c>
      <c r="E5" s="2" t="inlineStr">
        <is>
          <t>Loja Norte</t>
        </is>
      </c>
      <c r="F5" s="2" t="inlineStr">
        <is>
          <t>Eduardo Matias Costa</t>
        </is>
      </c>
      <c r="G5" s="2" t="inlineStr">
        <is>
          <t>(11) 95522-8871</t>
        </is>
      </c>
      <c r="H5" s="2" t="inlineStr">
        <is>
          <t>Camila Tavares</t>
        </is>
      </c>
      <c r="I5" s="2" t="inlineStr">
        <is>
          <t>Esposa</t>
        </is>
      </c>
      <c r="J5" s="2" t="inlineStr">
        <is>
          <t>(11) 95522-0033</t>
        </is>
      </c>
      <c r="K5" s="3" t="n">
        <v>45173</v>
      </c>
      <c r="L5" s="2" t="inlineStr">
        <is>
          <t>Ativo</t>
        </is>
      </c>
      <c r="M5" s="2" t="inlineStr">
        <is>
          <t>50921144-SP</t>
        </is>
      </c>
      <c r="N5" s="2" t="inlineStr">
        <is>
          <t>AB</t>
        </is>
      </c>
      <c r="O5" s="3" t="n">
        <v>46822</v>
      </c>
      <c r="P5" s="2">
        <f>IF(O5="","N/A",IF(O5-TODAY()&lt;=7,"Crítico",IF(O5-TODAY()&lt;=30,"Atenção","Em dia")))</f>
        <v/>
      </c>
      <c r="Q5" s="3" t="n">
        <v>46256</v>
      </c>
      <c r="R5" s="2">
        <f>IF(Q5="","N/A",IF(Q5-TODAY()&lt;=7,"Crítico",IF(Q5-TODAY()&lt;=30,"Atenção","Em dia")))</f>
        <v/>
      </c>
      <c r="S5" s="2" t="inlineStr">
        <is>
          <t>Uso Progressivo da Força e Contenção</t>
        </is>
      </c>
      <c r="T5" s="3" t="n">
        <v>46337</v>
      </c>
      <c r="U5" s="2">
        <f>IF(T5="","N/A",IF(T5-TODAY()&lt;=7,"Crítico",IF(T5-TODAY()&lt;=30,"Atenção","Em dia")))</f>
        <v/>
      </c>
      <c r="V5" s="3" t="n">
        <v>46357</v>
      </c>
      <c r="W5" s="2">
        <f>IF(V5="","N/A",IF(V5-TODAY()&lt;=7,"Crítico",IF(V5-TODAY()&lt;=30,"Atenção","Em dia")))</f>
        <v/>
      </c>
      <c r="X5" s="2">
        <f>IF(OR(P5="Crítico",R5="Crítico",U5="Crítico",W5="Crítico"),"Crítico",IF(OR(P5="Atenção",R5="Atenção",U5="Atenção",W5="Atenção"),"Atenção",IF(AND(P5="N/A",R5="N/A",U5="N/A",W5="N/A"),"N/A","Em dia")))</f>
        <v/>
      </c>
      <c r="Y5" s="3" t="n">
        <v>45904</v>
      </c>
      <c r="Z5" s="3" t="n">
        <v>46268</v>
      </c>
      <c r="AA5" s="2" t="n">
        <v>30</v>
      </c>
      <c r="AB5" s="2" t="n">
        <v>0</v>
      </c>
      <c r="AC5" s="2">
        <f>MAX(0,AA5-AB5)</f>
        <v/>
      </c>
      <c r="AD5" s="3" t="n"/>
      <c r="AE5" s="3" t="n"/>
      <c r="AF5" s="3">
        <f>IF(Z5="","",EDATE(Z5,11))</f>
        <v/>
      </c>
      <c r="AG5" s="2">
        <f>IF(AF5="","N/A",IF(AF5-TODAY()&lt;0,"Vencido",IF(AF5-TODAY()&lt;=60,"Atenção","Em dia")))</f>
        <v/>
      </c>
      <c r="AH5" s="2" t="inlineStr">
        <is>
          <t>Não</t>
        </is>
      </c>
      <c r="AI5" s="2" t="inlineStr">
        <is>
          <t>Sim</t>
        </is>
      </c>
      <c r="AJ5" s="2" t="inlineStr">
        <is>
          <t>Não</t>
        </is>
      </c>
      <c r="AK5" s="2" t="inlineStr">
        <is>
          <t>Não</t>
        </is>
      </c>
      <c r="AL5" s="2" t="inlineStr">
        <is>
          <t>Não</t>
        </is>
      </c>
      <c r="AM5" s="2" t="inlineStr">
        <is>
          <t>Não</t>
        </is>
      </c>
      <c r="AN5" s="2" t="inlineStr">
        <is>
          <t>Sim</t>
        </is>
      </c>
      <c r="AO5" s="2" t="inlineStr">
        <is>
          <t>Sim</t>
        </is>
      </c>
      <c r="AP5" s="2" t="inlineStr">
        <is>
          <t>Sim</t>
        </is>
      </c>
      <c r="AQ5" s="2" t="inlineStr">
        <is>
          <t>HT-021 · Colete C-08</t>
        </is>
      </c>
      <c r="AR5" s="2" t="inlineStr"/>
      <c r="AS5" s="2" t="inlineStr">
        <is>
          <t>Não</t>
        </is>
      </c>
      <c r="AT5" s="2" t="inlineStr"/>
      <c r="AU5" s="2" t="inlineStr"/>
    </row>
    <row r="6">
      <c r="A6" s="2" t="inlineStr">
        <is>
          <t>PP-1035</t>
        </is>
      </c>
      <c r="B6" s="2" t="inlineStr">
        <is>
          <t>Camila Rezende Souza</t>
        </is>
      </c>
      <c r="C6" s="2" t="inlineStr">
        <is>
          <t>Agente de Prevenção de Perdas</t>
        </is>
      </c>
      <c r="D6" s="2" t="inlineStr">
        <is>
          <t>Abordagem e Segurança de Loja</t>
        </is>
      </c>
      <c r="E6" s="2" t="inlineStr">
        <is>
          <t>Loja Sul</t>
        </is>
      </c>
      <c r="F6" s="2" t="inlineStr">
        <is>
          <t>Eduardo Matias Costa</t>
        </is>
      </c>
      <c r="G6" s="2" t="inlineStr">
        <is>
          <t>(11) 94411-2298</t>
        </is>
      </c>
      <c r="H6" s="2" t="inlineStr">
        <is>
          <t>Adriano Rezende</t>
        </is>
      </c>
      <c r="I6" s="2" t="inlineStr">
        <is>
          <t>Pai</t>
        </is>
      </c>
      <c r="J6" s="2" t="inlineStr">
        <is>
          <t>(11) 94411-7765</t>
        </is>
      </c>
      <c r="K6" s="3" t="n">
        <v>45306</v>
      </c>
      <c r="L6" s="2" t="inlineStr">
        <is>
          <t>Afastado</t>
        </is>
      </c>
      <c r="M6" s="2" t="inlineStr">
        <is>
          <t>60233111-SP</t>
        </is>
      </c>
      <c r="N6" s="2" t="inlineStr">
        <is>
          <t>B</t>
        </is>
      </c>
      <c r="O6" s="3" t="n">
        <v>46587</v>
      </c>
      <c r="P6" s="2">
        <f>IF(O6="","N/A",IF(O6-TODAY()&lt;=7,"Crítico",IF(O6-TODAY()&lt;=30,"Atenção","Em dia")))</f>
        <v/>
      </c>
      <c r="Q6" s="3" t="n">
        <v>46253</v>
      </c>
      <c r="R6" s="2">
        <f>IF(Q6="","N/A",IF(Q6-TODAY()&lt;=7,"Crítico",IF(Q6-TODAY()&lt;=30,"Atenção","Em dia")))</f>
        <v/>
      </c>
      <c r="S6" s="2" t="inlineStr">
        <is>
          <t>Uso Progressivo da Força e Contenção</t>
        </is>
      </c>
      <c r="T6" s="3" t="n">
        <v>46264</v>
      </c>
      <c r="U6" s="2">
        <f>IF(T6="","N/A",IF(T6-TODAY()&lt;=7,"Crítico",IF(T6-TODAY()&lt;=30,"Atenção","Em dia")))</f>
        <v/>
      </c>
      <c r="V6" s="3" t="n">
        <v>46447</v>
      </c>
      <c r="W6" s="2">
        <f>IF(V6="","N/A",IF(V6-TODAY()&lt;=7,"Crítico",IF(V6-TODAY()&lt;=30,"Atenção","Em dia")))</f>
        <v/>
      </c>
      <c r="X6" s="2">
        <f>IF(OR(P6="Crítico",R6="Crítico",U6="Crítico",W6="Crítico"),"Crítico",IF(OR(P6="Atenção",R6="Atenção",U6="Atenção",W6="Atenção"),"Atenção",IF(AND(P6="N/A",R6="N/A",U6="N/A",W6="N/A"),"N/A","Em dia")))</f>
        <v/>
      </c>
      <c r="Y6" s="3" t="n">
        <v>45306</v>
      </c>
      <c r="Z6" s="3" t="n">
        <v>45671</v>
      </c>
      <c r="AA6" s="2" t="n">
        <v>30</v>
      </c>
      <c r="AB6" s="2" t="n">
        <v>15</v>
      </c>
      <c r="AC6" s="2">
        <f>MAX(0,AA6-AB6)</f>
        <v/>
      </c>
      <c r="AD6" s="3" t="n">
        <v>46275</v>
      </c>
      <c r="AE6" s="3" t="n">
        <v>46304</v>
      </c>
      <c r="AF6" s="3">
        <f>IF(Z6="","",EDATE(Z6,11))</f>
        <v/>
      </c>
      <c r="AG6" s="2">
        <f>IF(AF6="","N/A",IF(AF6-TODAY()&lt;0,"Vencido",IF(AF6-TODAY()&lt;=60,"Atenção","Em dia")))</f>
        <v/>
      </c>
      <c r="AH6" s="2" t="inlineStr">
        <is>
          <t>Não</t>
        </is>
      </c>
      <c r="AI6" s="2" t="inlineStr">
        <is>
          <t>Não</t>
        </is>
      </c>
      <c r="AJ6" s="2" t="inlineStr">
        <is>
          <t>Não</t>
        </is>
      </c>
      <c r="AK6" s="2" t="inlineStr">
        <is>
          <t>Não</t>
        </is>
      </c>
      <c r="AL6" s="2" t="inlineStr">
        <is>
          <t>Não</t>
        </is>
      </c>
      <c r="AM6" s="2" t="inlineStr">
        <is>
          <t>Não</t>
        </is>
      </c>
      <c r="AN6" s="2" t="inlineStr">
        <is>
          <t>Sim</t>
        </is>
      </c>
      <c r="AO6" s="2" t="inlineStr">
        <is>
          <t>Não</t>
        </is>
      </c>
      <c r="AP6" s="2" t="inlineStr">
        <is>
          <t>Não</t>
        </is>
      </c>
      <c r="AQ6" s="2" t="inlineStr">
        <is>
          <t>Crachá suspenso — aguardando retorno</t>
        </is>
      </c>
      <c r="AR6" s="2" t="inlineStr"/>
      <c r="AS6" s="2" t="inlineStr">
        <is>
          <t>Sim</t>
        </is>
      </c>
      <c r="AT6" s="2" t="inlineStr">
        <is>
          <t>Em licença médica desde 05/08/2026 — revisar retorno e redistribuição de equipamentos</t>
        </is>
      </c>
      <c r="AU6" s="2" t="inlineStr">
        <is>
          <t>Prazo de concessão do ciclo 2024/2025 já venceu; férias futuras já agendadas para 10/09.</t>
        </is>
      </c>
    </row>
    <row r="7">
      <c r="A7" s="2" t="inlineStr">
        <is>
          <t>PP-1040</t>
        </is>
      </c>
      <c r="B7" s="2" t="inlineStr">
        <is>
          <t>Rafael Cordeiro Nunes</t>
        </is>
      </c>
      <c r="C7" s="2" t="inlineStr">
        <is>
          <t>Analista de Inteligência e Investigações</t>
        </is>
      </c>
      <c r="D7" s="2" t="inlineStr">
        <is>
          <t>Investigação de Perdas Internas</t>
        </is>
      </c>
      <c r="E7" s="2" t="inlineStr">
        <is>
          <t>Regional Sudeste</t>
        </is>
      </c>
      <c r="F7" s="2" t="inlineStr">
        <is>
          <t>Marina Salgado Ferreira</t>
        </is>
      </c>
      <c r="G7" s="2" t="inlineStr">
        <is>
          <t>(11) 93300-6654</t>
        </is>
      </c>
      <c r="H7" s="2" t="inlineStr">
        <is>
          <t>Fernanda Cordeiro</t>
        </is>
      </c>
      <c r="I7" s="2" t="inlineStr">
        <is>
          <t>Esposa</t>
        </is>
      </c>
      <c r="J7" s="2" t="inlineStr">
        <is>
          <t>(11) 93300-1123</t>
        </is>
      </c>
      <c r="K7" s="3" t="n">
        <v>44158</v>
      </c>
      <c r="L7" s="2" t="inlineStr">
        <is>
          <t>Ativo</t>
        </is>
      </c>
      <c r="M7" s="2" t="inlineStr">
        <is>
          <t>28871199-SP</t>
        </is>
      </c>
      <c r="N7" s="2" t="inlineStr">
        <is>
          <t>B</t>
        </is>
      </c>
      <c r="O7" s="3" t="n">
        <v>46277</v>
      </c>
      <c r="P7" s="2">
        <f>IF(O7="","N/A",IF(O7-TODAY()&lt;=7,"Crítico",IF(O7-TODAY()&lt;=30,"Atenção","Em dia")))</f>
        <v/>
      </c>
      <c r="Q7" s="3" t="n">
        <v>46481</v>
      </c>
      <c r="R7" s="2">
        <f>IF(Q7="","N/A",IF(Q7-TODAY()&lt;=7,"Crítico",IF(Q7-TODAY()&lt;=30,"Atenção","Em dia")))</f>
        <v/>
      </c>
      <c r="S7" s="2" t="inlineStr">
        <is>
          <t>Técnicas de Entrevista e Investigação</t>
        </is>
      </c>
      <c r="T7" s="3" t="n">
        <v>46258</v>
      </c>
      <c r="U7" s="2">
        <f>IF(T7="","N/A",IF(T7-TODAY()&lt;=7,"Crítico",IF(T7-TODAY()&lt;=30,"Atenção","Em dia")))</f>
        <v/>
      </c>
      <c r="V7" s="3" t="n">
        <v>46356</v>
      </c>
      <c r="W7" s="2">
        <f>IF(V7="","N/A",IF(V7-TODAY()&lt;=7,"Crítico",IF(V7-TODAY()&lt;=30,"Atenção","Em dia")))</f>
        <v/>
      </c>
      <c r="X7" s="2">
        <f>IF(OR(P7="Crítico",R7="Crítico",U7="Crítico",W7="Crítico"),"Crítico",IF(OR(P7="Atenção",R7="Atenção",U7="Atenção",W7="Atenção"),"Atenção",IF(AND(P7="N/A",R7="N/A",U7="N/A",W7="N/A"),"N/A","Em dia")))</f>
        <v/>
      </c>
      <c r="Y7" s="3" t="n">
        <v>45984</v>
      </c>
      <c r="Z7" s="3" t="n">
        <v>46348</v>
      </c>
      <c r="AA7" s="2" t="n">
        <v>30</v>
      </c>
      <c r="AB7" s="2" t="n">
        <v>5</v>
      </c>
      <c r="AC7" s="2">
        <f>MAX(0,AA7-AB7)</f>
        <v/>
      </c>
      <c r="AD7" s="3" t="n">
        <v>46363</v>
      </c>
      <c r="AE7" s="3" t="n">
        <v>46392</v>
      </c>
      <c r="AF7" s="3">
        <f>IF(Z7="","",EDATE(Z7,11))</f>
        <v/>
      </c>
      <c r="AG7" s="2">
        <f>IF(AF7="","N/A",IF(AF7-TODAY()&lt;0,"Vencido",IF(AF7-TODAY()&lt;=60,"Atenção","Em dia")))</f>
        <v/>
      </c>
      <c r="AH7" s="2" t="inlineStr">
        <is>
          <t>Sim</t>
        </is>
      </c>
      <c r="AI7" s="2" t="inlineStr">
        <is>
          <t>Sim</t>
        </is>
      </c>
      <c r="AJ7" s="2" t="inlineStr">
        <is>
          <t>Sim</t>
        </is>
      </c>
      <c r="AK7" s="2" t="inlineStr">
        <is>
          <t>Sim</t>
        </is>
      </c>
      <c r="AL7" s="2" t="inlineStr">
        <is>
          <t>Sim</t>
        </is>
      </c>
      <c r="AM7" s="2" t="inlineStr">
        <is>
          <t>Sim</t>
        </is>
      </c>
      <c r="AN7" s="2" t="inlineStr">
        <is>
          <t>Sim</t>
        </is>
      </c>
      <c r="AO7" s="2" t="inlineStr">
        <is>
          <t>Não</t>
        </is>
      </c>
      <c r="AP7" s="2" t="inlineStr">
        <is>
          <t>Não</t>
        </is>
      </c>
      <c r="AQ7" s="2" t="inlineStr">
        <is>
          <t>NB-1876 · Placa QRX-9J41</t>
        </is>
      </c>
      <c r="AR7" s="2" t="inlineStr"/>
      <c r="AS7" s="2" t="inlineStr">
        <is>
          <t>Não</t>
        </is>
      </c>
      <c r="AT7" s="2" t="inlineStr"/>
      <c r="AU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3" t="n"/>
      <c r="L8" s="2" t="n"/>
      <c r="M8" s="2" t="n"/>
      <c r="N8" s="2" t="n"/>
      <c r="O8" s="3" t="n"/>
      <c r="P8" s="2">
        <f>IF(O8="","N/A",IF(O8-TODAY()&lt;=7,"Crítico",IF(O8-TODAY()&lt;=30,"Atenção","Em dia")))</f>
        <v/>
      </c>
      <c r="Q8" s="3" t="n"/>
      <c r="R8" s="2">
        <f>IF(Q8="","N/A",IF(Q8-TODAY()&lt;=7,"Crítico",IF(Q8-TODAY()&lt;=30,"Atenção","Em dia")))</f>
        <v/>
      </c>
      <c r="S8" s="2" t="n"/>
      <c r="T8" s="3" t="n"/>
      <c r="U8" s="2">
        <f>IF(T8="","N/A",IF(T8-TODAY()&lt;=7,"Crítico",IF(T8-TODAY()&lt;=30,"Atenção","Em dia")))</f>
        <v/>
      </c>
      <c r="V8" s="3" t="n"/>
      <c r="W8" s="2">
        <f>IF(V8="","N/A",IF(V8-TODAY()&lt;=7,"Crítico",IF(V8-TODAY()&lt;=30,"Atenção","Em dia")))</f>
        <v/>
      </c>
      <c r="X8" s="2">
        <f>IF(OR(P8="Crítico",R8="Crítico",U8="Crítico",W8="Crítico"),"Crítico",IF(OR(P8="Atenção",R8="Atenção",U8="Atenção",W8="Atenção"),"Atenção",IF(AND(P8="N/A",R8="N/A",U8="N/A",W8="N/A"),"N/A","Em dia")))</f>
        <v/>
      </c>
      <c r="Y8" s="3" t="n"/>
      <c r="Z8" s="3" t="n"/>
      <c r="AA8" s="2" t="n"/>
      <c r="AB8" s="2" t="n"/>
      <c r="AC8" s="2">
        <f>MAX(0,AA8-AB8)</f>
        <v/>
      </c>
      <c r="AD8" s="3" t="n"/>
      <c r="AE8" s="3" t="n"/>
      <c r="AF8" s="3">
        <f>IF(Z8="","",EDATE(Z8,11))</f>
        <v/>
      </c>
      <c r="AG8" s="2">
        <f>IF(AF8="","N/A",IF(AF8-TODAY()&lt;0,"Vencido",IF(AF8-TODAY()&lt;=60,"Atenção","Em dia")))</f>
        <v/>
      </c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3" t="n"/>
      <c r="L9" s="2" t="n"/>
      <c r="M9" s="2" t="n"/>
      <c r="N9" s="2" t="n"/>
      <c r="O9" s="3" t="n"/>
      <c r="P9" s="2">
        <f>IF(O9="","N/A",IF(O9-TODAY()&lt;=7,"Crítico",IF(O9-TODAY()&lt;=30,"Atenção","Em dia")))</f>
        <v/>
      </c>
      <c r="Q9" s="3" t="n"/>
      <c r="R9" s="2">
        <f>IF(Q9="","N/A",IF(Q9-TODAY()&lt;=7,"Crítico",IF(Q9-TODAY()&lt;=30,"Atenção","Em dia")))</f>
        <v/>
      </c>
      <c r="S9" s="2" t="n"/>
      <c r="T9" s="3" t="n"/>
      <c r="U9" s="2">
        <f>IF(T9="","N/A",IF(T9-TODAY()&lt;=7,"Crítico",IF(T9-TODAY()&lt;=30,"Atenção","Em dia")))</f>
        <v/>
      </c>
      <c r="V9" s="3" t="n"/>
      <c r="W9" s="2">
        <f>IF(V9="","N/A",IF(V9-TODAY()&lt;=7,"Crítico",IF(V9-TODAY()&lt;=30,"Atenção","Em dia")))</f>
        <v/>
      </c>
      <c r="X9" s="2">
        <f>IF(OR(P9="Crítico",R9="Crítico",U9="Crítico",W9="Crítico"),"Crítico",IF(OR(P9="Atenção",R9="Atenção",U9="Atenção",W9="Atenção"),"Atenção",IF(AND(P9="N/A",R9="N/A",U9="N/A",W9="N/A"),"N/A","Em dia")))</f>
        <v/>
      </c>
      <c r="Y9" s="3" t="n"/>
      <c r="Z9" s="3" t="n"/>
      <c r="AA9" s="2" t="n"/>
      <c r="AB9" s="2" t="n"/>
      <c r="AC9" s="2">
        <f>MAX(0,AA9-AB9)</f>
        <v/>
      </c>
      <c r="AD9" s="3" t="n"/>
      <c r="AE9" s="3" t="n"/>
      <c r="AF9" s="3">
        <f>IF(Z9="","",EDATE(Z9,11))</f>
        <v/>
      </c>
      <c r="AG9" s="2">
        <f>IF(AF9="","N/A",IF(AF9-TODAY()&lt;0,"Vencido",IF(AF9-TODAY()&lt;=60,"Atenção","Em dia")))</f>
        <v/>
      </c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3" t="n"/>
      <c r="L10" s="2" t="n"/>
      <c r="M10" s="2" t="n"/>
      <c r="N10" s="2" t="n"/>
      <c r="O10" s="3" t="n"/>
      <c r="P10" s="2">
        <f>IF(O10="","N/A",IF(O10-TODAY()&lt;=7,"Crítico",IF(O10-TODAY()&lt;=30,"Atenção","Em dia")))</f>
        <v/>
      </c>
      <c r="Q10" s="3" t="n"/>
      <c r="R10" s="2">
        <f>IF(Q10="","N/A",IF(Q10-TODAY()&lt;=7,"Crítico",IF(Q10-TODAY()&lt;=30,"Atenção","Em dia")))</f>
        <v/>
      </c>
      <c r="S10" s="2" t="n"/>
      <c r="T10" s="3" t="n"/>
      <c r="U10" s="2">
        <f>IF(T10="","N/A",IF(T10-TODAY()&lt;=7,"Crítico",IF(T10-TODAY()&lt;=30,"Atenção","Em dia")))</f>
        <v/>
      </c>
      <c r="V10" s="3" t="n"/>
      <c r="W10" s="2">
        <f>IF(V10="","N/A",IF(V10-TODAY()&lt;=7,"Crítico",IF(V10-TODAY()&lt;=30,"Atenção","Em dia")))</f>
        <v/>
      </c>
      <c r="X10" s="2">
        <f>IF(OR(P10="Crítico",R10="Crítico",U10="Crítico",W10="Crítico"),"Crítico",IF(OR(P10="Atenção",R10="Atenção",U10="Atenção",W10="Atenção"),"Atenção",IF(AND(P10="N/A",R10="N/A",U10="N/A",W10="N/A"),"N/A","Em dia")))</f>
        <v/>
      </c>
      <c r="Y10" s="3" t="n"/>
      <c r="Z10" s="3" t="n"/>
      <c r="AA10" s="2" t="n"/>
      <c r="AB10" s="2" t="n"/>
      <c r="AC10" s="2">
        <f>MAX(0,AA10-AB10)</f>
        <v/>
      </c>
      <c r="AD10" s="3" t="n"/>
      <c r="AE10" s="3" t="n"/>
      <c r="AF10" s="3">
        <f>IF(Z10="","",EDATE(Z10,11))</f>
        <v/>
      </c>
      <c r="AG10" s="2">
        <f>IF(AF10="","N/A",IF(AF10-TODAY()&lt;0,"Vencido",IF(AF10-TODAY()&lt;=60,"Atenção","Em dia")))</f>
        <v/>
      </c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3" t="n"/>
      <c r="L11" s="2" t="n"/>
      <c r="M11" s="2" t="n"/>
      <c r="N11" s="2" t="n"/>
      <c r="O11" s="3" t="n"/>
      <c r="P11" s="2">
        <f>IF(O11="","N/A",IF(O11-TODAY()&lt;=7,"Crítico",IF(O11-TODAY()&lt;=30,"Atenção","Em dia")))</f>
        <v/>
      </c>
      <c r="Q11" s="3" t="n"/>
      <c r="R11" s="2">
        <f>IF(Q11="","N/A",IF(Q11-TODAY()&lt;=7,"Crítico",IF(Q11-TODAY()&lt;=30,"Atenção","Em dia")))</f>
        <v/>
      </c>
      <c r="S11" s="2" t="n"/>
      <c r="T11" s="3" t="n"/>
      <c r="U11" s="2">
        <f>IF(T11="","N/A",IF(T11-TODAY()&lt;=7,"Crítico",IF(T11-TODAY()&lt;=30,"Atenção","Em dia")))</f>
        <v/>
      </c>
      <c r="V11" s="3" t="n"/>
      <c r="W11" s="2">
        <f>IF(V11="","N/A",IF(V11-TODAY()&lt;=7,"Crítico",IF(V11-TODAY()&lt;=30,"Atenção","Em dia")))</f>
        <v/>
      </c>
      <c r="X11" s="2">
        <f>IF(OR(P11="Crítico",R11="Crítico",U11="Crítico",W11="Crítico"),"Crítico",IF(OR(P11="Atenção",R11="Atenção",U11="Atenção",W11="Atenção"),"Atenção",IF(AND(P11="N/A",R11="N/A",U11="N/A",W11="N/A"),"N/A","Em dia")))</f>
        <v/>
      </c>
      <c r="Y11" s="3" t="n"/>
      <c r="Z11" s="3" t="n"/>
      <c r="AA11" s="2" t="n"/>
      <c r="AB11" s="2" t="n"/>
      <c r="AC11" s="2">
        <f>MAX(0,AA11-AB11)</f>
        <v/>
      </c>
      <c r="AD11" s="3" t="n"/>
      <c r="AE11" s="3" t="n"/>
      <c r="AF11" s="3">
        <f>IF(Z11="","",EDATE(Z11,11))</f>
        <v/>
      </c>
      <c r="AG11" s="2">
        <f>IF(AF11="","N/A",IF(AF11-TODAY()&lt;0,"Vencido",IF(AF11-TODAY()&lt;=60,"Atenção","Em dia")))</f>
        <v/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3" t="n"/>
      <c r="L12" s="2" t="n"/>
      <c r="M12" s="2" t="n"/>
      <c r="N12" s="2" t="n"/>
      <c r="O12" s="3" t="n"/>
      <c r="P12" s="2">
        <f>IF(O12="","N/A",IF(O12-TODAY()&lt;=7,"Crítico",IF(O12-TODAY()&lt;=30,"Atenção","Em dia")))</f>
        <v/>
      </c>
      <c r="Q12" s="3" t="n"/>
      <c r="R12" s="2">
        <f>IF(Q12="","N/A",IF(Q12-TODAY()&lt;=7,"Crítico",IF(Q12-TODAY()&lt;=30,"Atenção","Em dia")))</f>
        <v/>
      </c>
      <c r="S12" s="2" t="n"/>
      <c r="T12" s="3" t="n"/>
      <c r="U12" s="2">
        <f>IF(T12="","N/A",IF(T12-TODAY()&lt;=7,"Crítico",IF(T12-TODAY()&lt;=30,"Atenção","Em dia")))</f>
        <v/>
      </c>
      <c r="V12" s="3" t="n"/>
      <c r="W12" s="2">
        <f>IF(V12="","N/A",IF(V12-TODAY()&lt;=7,"Crítico",IF(V12-TODAY()&lt;=30,"Atenção","Em dia")))</f>
        <v/>
      </c>
      <c r="X12" s="2">
        <f>IF(OR(P12="Crítico",R12="Crítico",U12="Crítico",W12="Crítico"),"Crítico",IF(OR(P12="Atenção",R12="Atenção",U12="Atenção",W12="Atenção"),"Atenção",IF(AND(P12="N/A",R12="N/A",U12="N/A",W12="N/A"),"N/A","Em dia")))</f>
        <v/>
      </c>
      <c r="Y12" s="3" t="n"/>
      <c r="Z12" s="3" t="n"/>
      <c r="AA12" s="2" t="n"/>
      <c r="AB12" s="2" t="n"/>
      <c r="AC12" s="2">
        <f>MAX(0,AA12-AB12)</f>
        <v/>
      </c>
      <c r="AD12" s="3" t="n"/>
      <c r="AE12" s="3" t="n"/>
      <c r="AF12" s="3">
        <f>IF(Z12="","",EDATE(Z12,11))</f>
        <v/>
      </c>
      <c r="AG12" s="2">
        <f>IF(AF12="","N/A",IF(AF12-TODAY()&lt;0,"Vencido",IF(AF12-TODAY()&lt;=60,"Atenção","Em dia")))</f>
        <v/>
      </c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3" t="n"/>
      <c r="L13" s="2" t="n"/>
      <c r="M13" s="2" t="n"/>
      <c r="N13" s="2" t="n"/>
      <c r="O13" s="3" t="n"/>
      <c r="P13" s="2">
        <f>IF(O13="","N/A",IF(O13-TODAY()&lt;=7,"Crítico",IF(O13-TODAY()&lt;=30,"Atenção","Em dia")))</f>
        <v/>
      </c>
      <c r="Q13" s="3" t="n"/>
      <c r="R13" s="2">
        <f>IF(Q13="","N/A",IF(Q13-TODAY()&lt;=7,"Crítico",IF(Q13-TODAY()&lt;=30,"Atenção","Em dia")))</f>
        <v/>
      </c>
      <c r="S13" s="2" t="n"/>
      <c r="T13" s="3" t="n"/>
      <c r="U13" s="2">
        <f>IF(T13="","N/A",IF(T13-TODAY()&lt;=7,"Crítico",IF(T13-TODAY()&lt;=30,"Atenção","Em dia")))</f>
        <v/>
      </c>
      <c r="V13" s="3" t="n"/>
      <c r="W13" s="2">
        <f>IF(V13="","N/A",IF(V13-TODAY()&lt;=7,"Crítico",IF(V13-TODAY()&lt;=30,"Atenção","Em dia")))</f>
        <v/>
      </c>
      <c r="X13" s="2">
        <f>IF(OR(P13="Crítico",R13="Crítico",U13="Crítico",W13="Crítico"),"Crítico",IF(OR(P13="Atenção",R13="Atenção",U13="Atenção",W13="Atenção"),"Atenção",IF(AND(P13="N/A",R13="N/A",U13="N/A",W13="N/A"),"N/A","Em dia")))</f>
        <v/>
      </c>
      <c r="Y13" s="3" t="n"/>
      <c r="Z13" s="3" t="n"/>
      <c r="AA13" s="2" t="n"/>
      <c r="AB13" s="2" t="n"/>
      <c r="AC13" s="2">
        <f>MAX(0,AA13-AB13)</f>
        <v/>
      </c>
      <c r="AD13" s="3" t="n"/>
      <c r="AE13" s="3" t="n"/>
      <c r="AF13" s="3">
        <f>IF(Z13="","",EDATE(Z13,11))</f>
        <v/>
      </c>
      <c r="AG13" s="2">
        <f>IF(AF13="","N/A",IF(AF13-TODAY()&lt;0,"Vencido",IF(AF13-TODAY()&lt;=60,"Atenção","Em dia")))</f>
        <v/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3" t="n"/>
      <c r="L14" s="2" t="n"/>
      <c r="M14" s="2" t="n"/>
      <c r="N14" s="2" t="n"/>
      <c r="O14" s="3" t="n"/>
      <c r="P14" s="2">
        <f>IF(O14="","N/A",IF(O14-TODAY()&lt;=7,"Crítico",IF(O14-TODAY()&lt;=30,"Atenção","Em dia")))</f>
        <v/>
      </c>
      <c r="Q14" s="3" t="n"/>
      <c r="R14" s="2">
        <f>IF(Q14="","N/A",IF(Q14-TODAY()&lt;=7,"Crítico",IF(Q14-TODAY()&lt;=30,"Atenção","Em dia")))</f>
        <v/>
      </c>
      <c r="S14" s="2" t="n"/>
      <c r="T14" s="3" t="n"/>
      <c r="U14" s="2">
        <f>IF(T14="","N/A",IF(T14-TODAY()&lt;=7,"Crítico",IF(T14-TODAY()&lt;=30,"Atenção","Em dia")))</f>
        <v/>
      </c>
      <c r="V14" s="3" t="n"/>
      <c r="W14" s="2">
        <f>IF(V14="","N/A",IF(V14-TODAY()&lt;=7,"Crítico",IF(V14-TODAY()&lt;=30,"Atenção","Em dia")))</f>
        <v/>
      </c>
      <c r="X14" s="2">
        <f>IF(OR(P14="Crítico",R14="Crítico",U14="Crítico",W14="Crítico"),"Crítico",IF(OR(P14="Atenção",R14="Atenção",U14="Atenção",W14="Atenção"),"Atenção",IF(AND(P14="N/A",R14="N/A",U14="N/A",W14="N/A"),"N/A","Em dia")))</f>
        <v/>
      </c>
      <c r="Y14" s="3" t="n"/>
      <c r="Z14" s="3" t="n"/>
      <c r="AA14" s="2" t="n"/>
      <c r="AB14" s="2" t="n"/>
      <c r="AC14" s="2">
        <f>MAX(0,AA14-AB14)</f>
        <v/>
      </c>
      <c r="AD14" s="3" t="n"/>
      <c r="AE14" s="3" t="n"/>
      <c r="AF14" s="3">
        <f>IF(Z14="","",EDATE(Z14,11))</f>
        <v/>
      </c>
      <c r="AG14" s="2">
        <f>IF(AF14="","N/A",IF(AF14-TODAY()&lt;0,"Vencido",IF(AF14-TODAY()&lt;=60,"Atenção","Em dia")))</f>
        <v/>
      </c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3" t="n"/>
      <c r="L15" s="2" t="n"/>
      <c r="M15" s="2" t="n"/>
      <c r="N15" s="2" t="n"/>
      <c r="O15" s="3" t="n"/>
      <c r="P15" s="2">
        <f>IF(O15="","N/A",IF(O15-TODAY()&lt;=7,"Crítico",IF(O15-TODAY()&lt;=30,"Atenção","Em dia")))</f>
        <v/>
      </c>
      <c r="Q15" s="3" t="n"/>
      <c r="R15" s="2">
        <f>IF(Q15="","N/A",IF(Q15-TODAY()&lt;=7,"Crítico",IF(Q15-TODAY()&lt;=30,"Atenção","Em dia")))</f>
        <v/>
      </c>
      <c r="S15" s="2" t="n"/>
      <c r="T15" s="3" t="n"/>
      <c r="U15" s="2">
        <f>IF(T15="","N/A",IF(T15-TODAY()&lt;=7,"Crítico",IF(T15-TODAY()&lt;=30,"Atenção","Em dia")))</f>
        <v/>
      </c>
      <c r="V15" s="3" t="n"/>
      <c r="W15" s="2">
        <f>IF(V15="","N/A",IF(V15-TODAY()&lt;=7,"Crítico",IF(V15-TODAY()&lt;=30,"Atenção","Em dia")))</f>
        <v/>
      </c>
      <c r="X15" s="2">
        <f>IF(OR(P15="Crítico",R15="Crítico",U15="Crítico",W15="Crítico"),"Crítico",IF(OR(P15="Atenção",R15="Atenção",U15="Atenção",W15="Atenção"),"Atenção",IF(AND(P15="N/A",R15="N/A",U15="N/A",W15="N/A"),"N/A","Em dia")))</f>
        <v/>
      </c>
      <c r="Y15" s="3" t="n"/>
      <c r="Z15" s="3" t="n"/>
      <c r="AA15" s="2" t="n"/>
      <c r="AB15" s="2" t="n"/>
      <c r="AC15" s="2">
        <f>MAX(0,AA15-AB15)</f>
        <v/>
      </c>
      <c r="AD15" s="3" t="n"/>
      <c r="AE15" s="3" t="n"/>
      <c r="AF15" s="3">
        <f>IF(Z15="","",EDATE(Z15,11))</f>
        <v/>
      </c>
      <c r="AG15" s="2">
        <f>IF(AF15="","N/A",IF(AF15-TODAY()&lt;0,"Vencido",IF(AF15-TODAY()&lt;=60,"Atenção","Em dia")))</f>
        <v/>
      </c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3" t="n"/>
      <c r="L16" s="2" t="n"/>
      <c r="M16" s="2" t="n"/>
      <c r="N16" s="2" t="n"/>
      <c r="O16" s="3" t="n"/>
      <c r="P16" s="2">
        <f>IF(O16="","N/A",IF(O16-TODAY()&lt;=7,"Crítico",IF(O16-TODAY()&lt;=30,"Atenção","Em dia")))</f>
        <v/>
      </c>
      <c r="Q16" s="3" t="n"/>
      <c r="R16" s="2">
        <f>IF(Q16="","N/A",IF(Q16-TODAY()&lt;=7,"Crítico",IF(Q16-TODAY()&lt;=30,"Atenção","Em dia")))</f>
        <v/>
      </c>
      <c r="S16" s="2" t="n"/>
      <c r="T16" s="3" t="n"/>
      <c r="U16" s="2">
        <f>IF(T16="","N/A",IF(T16-TODAY()&lt;=7,"Crítico",IF(T16-TODAY()&lt;=30,"Atenção","Em dia")))</f>
        <v/>
      </c>
      <c r="V16" s="3" t="n"/>
      <c r="W16" s="2">
        <f>IF(V16="","N/A",IF(V16-TODAY()&lt;=7,"Crítico",IF(V16-TODAY()&lt;=30,"Atenção","Em dia")))</f>
        <v/>
      </c>
      <c r="X16" s="2">
        <f>IF(OR(P16="Crítico",R16="Crítico",U16="Crítico",W16="Crítico"),"Crítico",IF(OR(P16="Atenção",R16="Atenção",U16="Atenção",W16="Atenção"),"Atenção",IF(AND(P16="N/A",R16="N/A",U16="N/A",W16="N/A"),"N/A","Em dia")))</f>
        <v/>
      </c>
      <c r="Y16" s="3" t="n"/>
      <c r="Z16" s="3" t="n"/>
      <c r="AA16" s="2" t="n"/>
      <c r="AB16" s="2" t="n"/>
      <c r="AC16" s="2">
        <f>MAX(0,AA16-AB16)</f>
        <v/>
      </c>
      <c r="AD16" s="3" t="n"/>
      <c r="AE16" s="3" t="n"/>
      <c r="AF16" s="3">
        <f>IF(Z16="","",EDATE(Z16,11))</f>
        <v/>
      </c>
      <c r="AG16" s="2">
        <f>IF(AF16="","N/A",IF(AF16-TODAY()&lt;0,"Vencido",IF(AF16-TODAY()&lt;=60,"Atenção","Em dia")))</f>
        <v/>
      </c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3" t="n"/>
      <c r="L17" s="2" t="n"/>
      <c r="M17" s="2" t="n"/>
      <c r="N17" s="2" t="n"/>
      <c r="O17" s="3" t="n"/>
      <c r="P17" s="2">
        <f>IF(O17="","N/A",IF(O17-TODAY()&lt;=7,"Crítico",IF(O17-TODAY()&lt;=30,"Atenção","Em dia")))</f>
        <v/>
      </c>
      <c r="Q17" s="3" t="n"/>
      <c r="R17" s="2">
        <f>IF(Q17="","N/A",IF(Q17-TODAY()&lt;=7,"Crítico",IF(Q17-TODAY()&lt;=30,"Atenção","Em dia")))</f>
        <v/>
      </c>
      <c r="S17" s="2" t="n"/>
      <c r="T17" s="3" t="n"/>
      <c r="U17" s="2">
        <f>IF(T17="","N/A",IF(T17-TODAY()&lt;=7,"Crítico",IF(T17-TODAY()&lt;=30,"Atenção","Em dia")))</f>
        <v/>
      </c>
      <c r="V17" s="3" t="n"/>
      <c r="W17" s="2">
        <f>IF(V17="","N/A",IF(V17-TODAY()&lt;=7,"Crítico",IF(V17-TODAY()&lt;=30,"Atenção","Em dia")))</f>
        <v/>
      </c>
      <c r="X17" s="2">
        <f>IF(OR(P17="Crítico",R17="Crítico",U17="Crítico",W17="Crítico"),"Crítico",IF(OR(P17="Atenção",R17="Atenção",U17="Atenção",W17="Atenção"),"Atenção",IF(AND(P17="N/A",R17="N/A",U17="N/A",W17="N/A"),"N/A","Em dia")))</f>
        <v/>
      </c>
      <c r="Y17" s="3" t="n"/>
      <c r="Z17" s="3" t="n"/>
      <c r="AA17" s="2" t="n"/>
      <c r="AB17" s="2" t="n"/>
      <c r="AC17" s="2">
        <f>MAX(0,AA17-AB17)</f>
        <v/>
      </c>
      <c r="AD17" s="3" t="n"/>
      <c r="AE17" s="3" t="n"/>
      <c r="AF17" s="3">
        <f>IF(Z17="","",EDATE(Z17,11))</f>
        <v/>
      </c>
      <c r="AG17" s="2">
        <f>IF(AF17="","N/A",IF(AF17-TODAY()&lt;0,"Vencido",IF(AF17-TODAY()&lt;=60,"Atenção","Em dia")))</f>
        <v/>
      </c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</row>
  </sheetData>
  <autoFilter ref="A1:AU1"/>
  <conditionalFormatting sqref="P2:P17">
    <cfRule type="cellIs" priority="1" operator="equal" dxfId="0">
      <formula>"Crítico"</formula>
    </cfRule>
    <cfRule type="cellIs" priority="2" operator="equal" dxfId="0">
      <formula>"Vencido"</formula>
    </cfRule>
    <cfRule type="cellIs" priority="3" operator="equal" dxfId="1">
      <formula>"Atenção"</formula>
    </cfRule>
    <cfRule type="cellIs" priority="4" operator="equal" dxfId="2">
      <formula>"Em dia"</formula>
    </cfRule>
    <cfRule type="cellIs" priority="5" operator="equal" dxfId="3">
      <formula>"N/A"</formula>
    </cfRule>
  </conditionalFormatting>
  <conditionalFormatting sqref="R2:R17">
    <cfRule type="cellIs" priority="6" operator="equal" dxfId="0">
      <formula>"Crítico"</formula>
    </cfRule>
    <cfRule type="cellIs" priority="7" operator="equal" dxfId="0">
      <formula>"Vencido"</formula>
    </cfRule>
    <cfRule type="cellIs" priority="8" operator="equal" dxfId="1">
      <formula>"Atenção"</formula>
    </cfRule>
    <cfRule type="cellIs" priority="9" operator="equal" dxfId="2">
      <formula>"Em dia"</formula>
    </cfRule>
    <cfRule type="cellIs" priority="10" operator="equal" dxfId="3">
      <formula>"N/A"</formula>
    </cfRule>
  </conditionalFormatting>
  <conditionalFormatting sqref="U2:U17">
    <cfRule type="cellIs" priority="11" operator="equal" dxfId="0">
      <formula>"Crítico"</formula>
    </cfRule>
    <cfRule type="cellIs" priority="12" operator="equal" dxfId="0">
      <formula>"Vencido"</formula>
    </cfRule>
    <cfRule type="cellIs" priority="13" operator="equal" dxfId="1">
      <formula>"Atenção"</formula>
    </cfRule>
    <cfRule type="cellIs" priority="14" operator="equal" dxfId="2">
      <formula>"Em dia"</formula>
    </cfRule>
    <cfRule type="cellIs" priority="15" operator="equal" dxfId="3">
      <formula>"N/A"</formula>
    </cfRule>
  </conditionalFormatting>
  <conditionalFormatting sqref="W2:W17">
    <cfRule type="cellIs" priority="16" operator="equal" dxfId="0">
      <formula>"Crítico"</formula>
    </cfRule>
    <cfRule type="cellIs" priority="17" operator="equal" dxfId="0">
      <formula>"Vencido"</formula>
    </cfRule>
    <cfRule type="cellIs" priority="18" operator="equal" dxfId="1">
      <formula>"Atenção"</formula>
    </cfRule>
    <cfRule type="cellIs" priority="19" operator="equal" dxfId="2">
      <formula>"Em dia"</formula>
    </cfRule>
    <cfRule type="cellIs" priority="20" operator="equal" dxfId="3">
      <formula>"N/A"</formula>
    </cfRule>
  </conditionalFormatting>
  <conditionalFormatting sqref="X2:X17">
    <cfRule type="cellIs" priority="21" operator="equal" dxfId="0">
      <formula>"Crítico"</formula>
    </cfRule>
    <cfRule type="cellIs" priority="22" operator="equal" dxfId="0">
      <formula>"Vencido"</formula>
    </cfRule>
    <cfRule type="cellIs" priority="23" operator="equal" dxfId="1">
      <formula>"Atenção"</formula>
    </cfRule>
    <cfRule type="cellIs" priority="24" operator="equal" dxfId="2">
      <formula>"Em dia"</formula>
    </cfRule>
    <cfRule type="cellIs" priority="25" operator="equal" dxfId="3">
      <formula>"N/A"</formula>
    </cfRule>
  </conditionalFormatting>
  <conditionalFormatting sqref="AG2:AG17">
    <cfRule type="cellIs" priority="26" operator="equal" dxfId="0">
      <formula>"Crítico"</formula>
    </cfRule>
    <cfRule type="cellIs" priority="27" operator="equal" dxfId="0">
      <formula>"Vencido"</formula>
    </cfRule>
    <cfRule type="cellIs" priority="28" operator="equal" dxfId="1">
      <formula>"Atenção"</formula>
    </cfRule>
    <cfRule type="cellIs" priority="29" operator="equal" dxfId="2">
      <formula>"Em dia"</formula>
    </cfRule>
    <cfRule type="cellIs" priority="30" operator="equal" dxfId="3">
      <formula>"N/A"</formula>
    </cfRule>
  </conditionalFormatting>
  <dataValidations count="2">
    <dataValidation sqref="L2:L17" showDropDown="0" showInputMessage="0" showErrorMessage="0" allowBlank="1" type="list">
      <formula1>"Ativo,Afastado,Inativo"</formula1>
    </dataValidation>
    <dataValidation sqref="AH2:AH17 AI2:AI17 AJ2:AJ17 AK2:AK17 AL2:AL17 AM2:AM17 AN2:AN17 AO2:AO17 AP2:AP17 AS2:AS17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4" t="inlineStr">
        <is>
          <t>Central Prevenção de Perdas — Legenda</t>
        </is>
      </c>
    </row>
    <row r="2" ht="30" customHeight="1">
      <c r="A2" s="5" t="inlineStr">
        <is>
          <t>Planilha de apoio ao painel interativo da equipe. Preencha as linhas em branco da aba "Colaboradores" com os dados reais — as colunas de situação (documentos e férias) recalculam sozinhas a partir da data de hoje.</t>
        </is>
      </c>
    </row>
    <row r="4">
      <c r="A4" s="6" t="inlineStr">
        <is>
          <t>Situação dos documentos (CNH, ASO, treinamento, antecedentes)</t>
        </is>
      </c>
    </row>
    <row r="5">
      <c r="A5" s="7" t="inlineStr">
        <is>
          <t>Em dia</t>
        </is>
      </c>
      <c r="B5" s="8" t="inlineStr">
        <is>
          <t>Validade a mais de 30 dias no futuro.</t>
        </is>
      </c>
    </row>
    <row r="6">
      <c r="A6" s="7" t="inlineStr">
        <is>
          <t>Atenção</t>
        </is>
      </c>
      <c r="B6" s="8" t="inlineStr">
        <is>
          <t>Vence em até 30 dias.</t>
        </is>
      </c>
    </row>
    <row r="7">
      <c r="A7" s="7" t="inlineStr">
        <is>
          <t>Crítico</t>
        </is>
      </c>
      <c r="B7" s="8" t="inlineStr">
        <is>
          <t>Já venceu ou vence em até 7 dias.</t>
        </is>
      </c>
    </row>
    <row r="8">
      <c r="A8" s="7" t="inlineStr">
        <is>
          <t>N/A</t>
        </is>
      </c>
      <c r="B8" s="8" t="inlineStr">
        <is>
          <t>Data de validade não informada (documento não se aplica ao cargo, ex.: CNH de um analista sem função de condução).</t>
        </is>
      </c>
    </row>
    <row r="10">
      <c r="A10" s="6" t="inlineStr">
        <is>
          <t>Situação das férias</t>
        </is>
      </c>
    </row>
    <row r="11">
      <c r="A11" s="7" t="inlineStr">
        <is>
          <t>Prazo legal de concessão</t>
        </is>
      </c>
      <c r="B11" s="8" t="inlineStr">
        <is>
          <t>Fim do período aquisitivo + 11 meses (regra da CLT — passar desse prazo gera pagamento em dobro).</t>
        </is>
      </c>
    </row>
    <row r="12">
      <c r="A12" s="7" t="inlineStr">
        <is>
          <t>Em dia</t>
        </is>
      </c>
      <c r="B12" s="8" t="inlineStr">
        <is>
          <t>Mais de 60 dias até o prazo legal de concessão.</t>
        </is>
      </c>
    </row>
    <row r="13">
      <c r="A13" s="7" t="inlineStr">
        <is>
          <t>Atenção</t>
        </is>
      </c>
      <c r="B13" s="8" t="inlineStr">
        <is>
          <t>Prazo legal de concessão a até 60 dias.</t>
        </is>
      </c>
    </row>
    <row r="14">
      <c r="A14" s="7" t="inlineStr">
        <is>
          <t>Vencido</t>
        </is>
      </c>
      <c r="B14" s="8" t="inlineStr">
        <is>
          <t>Prazo legal de concessão já passou — priorizar agendamento.</t>
        </is>
      </c>
    </row>
    <row r="16">
      <c r="A16" s="6" t="inlineStr">
        <is>
          <t>Como preencher</t>
        </is>
      </c>
    </row>
    <row r="17">
      <c r="A17" s="7" t="inlineStr">
        <is>
          <t>Matrícula</t>
        </is>
      </c>
      <c r="B17" s="8" t="inlineStr">
        <is>
          <t>Use um código sequencial (ex.: PP-1041) — mantenha único por colaborador.</t>
        </is>
      </c>
    </row>
    <row r="18">
      <c r="A18" s="7" t="inlineStr">
        <is>
          <t>Datas</t>
        </is>
      </c>
      <c r="B18" s="8" t="inlineStr">
        <is>
          <t>Preencha no formato dd/mm/aaaa; deixe em branco quando não aplicável.</t>
        </is>
      </c>
    </row>
    <row r="19">
      <c r="A19" s="7" t="inlineStr">
        <is>
          <t>Equipamentos / Pendência / Status</t>
        </is>
      </c>
      <c r="B19" s="8" t="inlineStr">
        <is>
          <t>Selecione pela lista suspensa da célula.</t>
        </is>
      </c>
    </row>
    <row r="20">
      <c r="A20" s="7" t="inlineStr">
        <is>
          <t>Linhas em branco</t>
        </is>
      </c>
      <c r="B20" s="8" t="inlineStr">
        <is>
          <t>As últimas linhas da aba Colaboradores já têm as fórmulas de situação prontas — basta preencher os dados.</t>
        </is>
      </c>
    </row>
  </sheetData>
  <mergeCells count="5">
    <mergeCell ref="A4:B4"/>
    <mergeCell ref="A16:B16"/>
    <mergeCell ref="A2:B2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2026-08-19T00:25:42Z</dcterms:created>
  <dcterms:modified xsi:type="dcterms:W3CDTF">2026-08-19T00:25:42Z</dcterms:modified>
</cp:coreProperties>
</file>